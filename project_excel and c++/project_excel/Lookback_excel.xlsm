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imo Semestre\PROGRAMMATION + PROJECT INFORMATIQUE\Project-informatique\project_excel and c++\project_excel\"/>
    </mc:Choice>
  </mc:AlternateContent>
  <xr:revisionPtr revIDLastSave="0" documentId="13_ncr:1_{CAFE71C1-3446-4119-B4A0-380FEFFBBEA4}" xr6:coauthVersionLast="47" xr6:coauthVersionMax="47" xr10:uidLastSave="{00000000-0000-0000-0000-000000000000}"/>
  <bookViews>
    <workbookView xWindow="-108" yWindow="-108" windowWidth="23256" windowHeight="12456" xr2:uid="{B27F4D64-D915-44A7-85B0-C62A1FDA1139}"/>
  </bookViews>
  <sheets>
    <sheet name="Input" sheetId="4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4" l="1"/>
  <c r="B30" i="4" s="1"/>
  <c r="B19" i="4"/>
</calcChain>
</file>

<file path=xl/sharedStrings.xml><?xml version="1.0" encoding="utf-8"?>
<sst xmlns="http://schemas.openxmlformats.org/spreadsheetml/2006/main" count="44" uniqueCount="44">
  <si>
    <t>r</t>
  </si>
  <si>
    <t>sigma</t>
  </si>
  <si>
    <t>T</t>
  </si>
  <si>
    <t>steps</t>
  </si>
  <si>
    <t>paths</t>
  </si>
  <si>
    <t>seed</t>
  </si>
  <si>
    <t>S0</t>
  </si>
  <si>
    <t>Smin</t>
  </si>
  <si>
    <t>Smax</t>
  </si>
  <si>
    <t>h_delta</t>
  </si>
  <si>
    <t>h_gamma</t>
  </si>
  <si>
    <t>dt_theta</t>
  </si>
  <si>
    <t>h_rho</t>
  </si>
  <si>
    <t>h_vega</t>
  </si>
  <si>
    <t>t0</t>
  </si>
  <si>
    <t>Maturity</t>
  </si>
  <si>
    <t>LOOKBACK OPTION – INPUTS</t>
  </si>
  <si>
    <t>Parameter</t>
  </si>
  <si>
    <t>Value</t>
  </si>
  <si>
    <t>STATUS</t>
  </si>
  <si>
    <t>dS</t>
  </si>
  <si>
    <t>MODEL</t>
  </si>
  <si>
    <t>MONTE CARLO</t>
  </si>
  <si>
    <t>UNDERLYING</t>
  </si>
  <si>
    <t>GREEKS BUMPS</t>
  </si>
  <si>
    <t>CURVE GRID</t>
  </si>
  <si>
    <t>DATES</t>
  </si>
  <si>
    <t>LOOKBACK OPTION – RESULTS</t>
  </si>
  <si>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</si>
  <si>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</si>
  <si>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</si>
  <si>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</si>
  <si>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</si>
  <si>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</si>
  <si>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</si>
  <si>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</si>
  <si>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</si>
  <si>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S</t>
  </si>
  <si>
    <t>Price_Call</t>
  </si>
  <si>
    <t>Price_Put</t>
  </si>
  <si>
    <t>Delta_Call</t>
  </si>
  <si>
    <t>Delta_Put</t>
  </si>
  <si>
    <t>LOOKBACK OPTION – CURVES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</si>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</sst>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E+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b/>
      <sz val="11"/>
      <color rgb="FF203864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rgb="FF203864"/>
      <name val="Calibri"/>
      <family val="2"/>
    </font>
    <font>
      <b/>
      <sz val="14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864"/>
        <bgColor indexed="64"/>
      </patternFill>
    </fill>
    <fill>
      <patternFill patternType="solid">
        <fgColor rgb="FFE6ECF5"/>
        <bgColor indexed="64"/>
      </patternFill>
    </fill>
    <fill>
      <patternFill patternType="solid">
        <fgColor rgb="FFF0F3FA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BEBEBE"/>
      </left>
      <right style="medium">
        <color rgb="FFBEBEBE"/>
      </right>
      <top style="medium">
        <color rgb="FFBEBEBE"/>
      </top>
      <bottom style="medium">
        <color rgb="FFBEBEBE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5" fillId="3" borderId="0" xfId="0" applyFont="1" applyFill="1"/>
    <xf numFmtId="0" fontId="5" fillId="6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164" fontId="0" fillId="5" borderId="1" xfId="0" applyNumberFormat="1" applyFill="1" applyBorder="1"/>
    <xf numFmtId="0" fontId="0" fillId="0" borderId="1" xfId="0" applyBorder="1"/>
    <xf numFmtId="0" fontId="0" fillId="7" borderId="1" xfId="0" applyFill="1" applyBorder="1"/>
    <xf numFmtId="1" fontId="0" fillId="5" borderId="1" xfId="0" applyNumberFormat="1" applyFill="1" applyBorder="1"/>
    <xf numFmtId="0" fontId="5" fillId="4" borderId="1" xfId="0" applyFont="1" applyFill="1" applyBorder="1"/>
    <xf numFmtId="0" fontId="2" fillId="0" borderId="1" xfId="0" applyFont="1" applyBorder="1"/>
    <xf numFmtId="0" fontId="2" fillId="7" borderId="1" xfId="0" applyFont="1" applyFill="1" applyBorder="1"/>
    <xf numFmtId="164" fontId="2" fillId="5" borderId="1" xfId="0" applyNumberFormat="1" applyFont="1" applyFill="1" applyBorder="1"/>
    <xf numFmtId="14" fontId="2" fillId="5" borderId="1" xfId="0" applyNumberFormat="1" applyFont="1" applyFill="1" applyBorder="1"/>
    <xf numFmtId="0" fontId="5" fillId="3" borderId="2" xfId="0" applyFont="1" applyFill="1" applyBorder="1" applyAlignment="1">
      <alignment horizontal="center"/>
    </xf>
    <xf numFmtId="0" fontId="5" fillId="4" borderId="2" xfId="0" applyFont="1" applyFill="1" applyBorder="1"/>
    <xf numFmtId="165" fontId="2" fillId="5" borderId="2" xfId="0" applyNumberFormat="1" applyFont="1" applyFill="1" applyBorder="1"/>
    <xf numFmtId="166" fontId="2" fillId="5" borderId="2" xfId="0" applyNumberFormat="1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Curves!$B$3:$B$23</c:f>
              <c:numCache>
                <c:formatCode>0.000000</c:formatCode>
                <c:ptCount val="21"/>
                <c:pt idx="0">
                  <c:v>8.7925572337035636</c:v>
                </c:pt>
                <c:pt idx="1">
                  <c:v>9.6718129570738274</c:v>
                </c:pt>
                <c:pt idx="2">
                  <c:v>10.551068680444187</c:v>
                </c:pt>
                <c:pt idx="3">
                  <c:v>11.430324403814531</c:v>
                </c:pt>
                <c:pt idx="4">
                  <c:v>12.309580127184859</c:v>
                </c:pt>
                <c:pt idx="5">
                  <c:v>13.188835850555215</c:v>
                </c:pt>
                <c:pt idx="6">
                  <c:v>14.068091573925507</c:v>
                </c:pt>
                <c:pt idx="7">
                  <c:v>14.94734729729598</c:v>
                </c:pt>
                <c:pt idx="8">
                  <c:v>15.826603020666401</c:v>
                </c:pt>
                <c:pt idx="9">
                  <c:v>16.705858744036682</c:v>
                </c:pt>
                <c:pt idx="10">
                  <c:v>17.585114467407127</c:v>
                </c:pt>
                <c:pt idx="11">
                  <c:v>18.464370190777224</c:v>
                </c:pt>
                <c:pt idx="12">
                  <c:v>19.343625914147655</c:v>
                </c:pt>
                <c:pt idx="13">
                  <c:v>20.222881637518242</c:v>
                </c:pt>
                <c:pt idx="14">
                  <c:v>21.102137360888374</c:v>
                </c:pt>
                <c:pt idx="15">
                  <c:v>21.981393084258702</c:v>
                </c:pt>
                <c:pt idx="16">
                  <c:v>22.860648807629062</c:v>
                </c:pt>
                <c:pt idx="17">
                  <c:v>23.739904530999553</c:v>
                </c:pt>
                <c:pt idx="18">
                  <c:v>24.619160254369717</c:v>
                </c:pt>
                <c:pt idx="19">
                  <c:v>25.498415977740173</c:v>
                </c:pt>
                <c:pt idx="20">
                  <c:v>26.37767170111043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0-444C-9E4D-72BB1482C9A1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Curves!$C$3:$C$23</c:f>
              <c:numCache>
                <c:formatCode>0.000000</c:formatCode>
                <c:ptCount val="21"/>
                <c:pt idx="0">
                  <c:v>7.1076532667228465</c:v>
                </c:pt>
                <c:pt idx="1">
                  <c:v>7.8184185933951786</c:v>
                </c:pt>
                <c:pt idx="2">
                  <c:v>8.5291839200674122</c:v>
                </c:pt>
                <c:pt idx="3">
                  <c:v>9.2399492467396502</c:v>
                </c:pt>
                <c:pt idx="4">
                  <c:v>9.950714573412009</c:v>
                </c:pt>
                <c:pt idx="5">
                  <c:v>10.661479900084311</c:v>
                </c:pt>
                <c:pt idx="6">
                  <c:v>11.372245226756506</c:v>
                </c:pt>
                <c:pt idx="7">
                  <c:v>12.083010553428851</c:v>
                </c:pt>
                <c:pt idx="8">
                  <c:v>12.793775880101162</c:v>
                </c:pt>
                <c:pt idx="9">
                  <c:v>13.504541206773435</c:v>
                </c:pt>
                <c:pt idx="10">
                  <c:v>14.215306533445693</c:v>
                </c:pt>
                <c:pt idx="11">
                  <c:v>14.926071860118007</c:v>
                </c:pt>
                <c:pt idx="12">
                  <c:v>15.636837186790357</c:v>
                </c:pt>
                <c:pt idx="13">
                  <c:v>16.347602513462643</c:v>
                </c:pt>
                <c:pt idx="14">
                  <c:v>17.058367840134824</c:v>
                </c:pt>
                <c:pt idx="15">
                  <c:v>17.769133166807112</c:v>
                </c:pt>
                <c:pt idx="16">
                  <c:v>18.4798984934793</c:v>
                </c:pt>
                <c:pt idx="17">
                  <c:v>19.190663820151808</c:v>
                </c:pt>
                <c:pt idx="18">
                  <c:v>19.901429146824018</c:v>
                </c:pt>
                <c:pt idx="19">
                  <c:v>20.612194473496356</c:v>
                </c:pt>
                <c:pt idx="20">
                  <c:v>21.322959800168622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00-444C-9E4D-72BB1482C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382159"/>
        <c:axId val="1497377839"/>
      </c:scatterChart>
      <c:valAx>
        <c:axId val="1497382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7377839"/>
        <c:crosses val="autoZero"/>
        <c:crossBetween val="midCat"/>
      </c:valAx>
      <c:valAx>
        <c:axId val="1497377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4973821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Curves!$D$3:$D$23</c:f>
              <c:numCache>
                <c:formatCode>0.000000</c:formatCode>
                <c:ptCount val="21"/>
                <c:pt idx="0">
                  <c:v>0.17585114467255636</c:v>
                </c:pt>
                <c:pt idx="1">
                  <c:v>0.17585114467122409</c:v>
                </c:pt>
                <c:pt idx="2">
                  <c:v>0.17585114467264518</c:v>
                </c:pt>
                <c:pt idx="3">
                  <c:v>0.1758511446747768</c:v>
                </c:pt>
                <c:pt idx="4">
                  <c:v>0.17585114468277041</c:v>
                </c:pt>
                <c:pt idx="5">
                  <c:v>0.17585114467735252</c:v>
                </c:pt>
                <c:pt idx="6">
                  <c:v>0.17585114467344454</c:v>
                </c:pt>
                <c:pt idx="7">
                  <c:v>0.17585114466740492</c:v>
                </c:pt>
                <c:pt idx="8">
                  <c:v>0.17585114467557617</c:v>
                </c:pt>
                <c:pt idx="9">
                  <c:v>0.17585114467415508</c:v>
                </c:pt>
                <c:pt idx="10">
                  <c:v>0.17585114466811547</c:v>
                </c:pt>
                <c:pt idx="11">
                  <c:v>0.17585114467841834</c:v>
                </c:pt>
                <c:pt idx="12">
                  <c:v>0.17585114467753016</c:v>
                </c:pt>
                <c:pt idx="13">
                  <c:v>0.17585114466598384</c:v>
                </c:pt>
                <c:pt idx="14">
                  <c:v>0.17585114467202345</c:v>
                </c:pt>
                <c:pt idx="15">
                  <c:v>0.17585114468356977</c:v>
                </c:pt>
                <c:pt idx="16">
                  <c:v>0.17585114467610907</c:v>
                </c:pt>
                <c:pt idx="17">
                  <c:v>0.17585114467895124</c:v>
                </c:pt>
                <c:pt idx="18">
                  <c:v>0.17585114466633911</c:v>
                </c:pt>
                <c:pt idx="19">
                  <c:v>0.17585114466989182</c:v>
                </c:pt>
                <c:pt idx="20">
                  <c:v>0.17585114468019469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3-439E-B5BE-9126CD7A25E1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Curves!$E$3:$E$23</c:f>
              <c:numCache>
                <c:formatCode>0.000000</c:formatCode>
                <c:ptCount val="21"/>
                <c:pt idx="0">
                  <c:v>0.14215306533480465</c:v>
                </c:pt>
                <c:pt idx="1">
                  <c:v>0.14215306533373884</c:v>
                </c:pt>
                <c:pt idx="2">
                  <c:v>0.14215306533351679</c:v>
                </c:pt>
                <c:pt idx="3">
                  <c:v>0.14215306533591487</c:v>
                </c:pt>
                <c:pt idx="4">
                  <c:v>0.14215306533733596</c:v>
                </c:pt>
                <c:pt idx="5">
                  <c:v>0.14215306532801009</c:v>
                </c:pt>
                <c:pt idx="6">
                  <c:v>0.14215306532703309</c:v>
                </c:pt>
                <c:pt idx="7">
                  <c:v>0.14215306533875705</c:v>
                </c:pt>
                <c:pt idx="8">
                  <c:v>0.14215306533698069</c:v>
                </c:pt>
                <c:pt idx="9">
                  <c:v>0.14215306533778005</c:v>
                </c:pt>
                <c:pt idx="10">
                  <c:v>0.14215306533484906</c:v>
                </c:pt>
                <c:pt idx="11">
                  <c:v>0.14215306534035577</c:v>
                </c:pt>
                <c:pt idx="12">
                  <c:v>0.14215306533813532</c:v>
                </c:pt>
                <c:pt idx="13">
                  <c:v>0.14215306533262861</c:v>
                </c:pt>
                <c:pt idx="14">
                  <c:v>0.14215306534097749</c:v>
                </c:pt>
                <c:pt idx="15">
                  <c:v>0.14215306533671423</c:v>
                </c:pt>
                <c:pt idx="16">
                  <c:v>0.14215306533778005</c:v>
                </c:pt>
                <c:pt idx="17">
                  <c:v>0.14215306532587846</c:v>
                </c:pt>
                <c:pt idx="18">
                  <c:v>0.14215306534026695</c:v>
                </c:pt>
                <c:pt idx="19">
                  <c:v>0.14215306533618133</c:v>
                </c:pt>
                <c:pt idx="20">
                  <c:v>0.14215306532516792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C3-439E-B5BE-9126CD7A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376879"/>
        <c:axId val="1497381199"/>
      </c:scatterChart>
      <c:valAx>
        <c:axId val="1497376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7381199"/>
        <c:crosses val="autoZero"/>
        <c:crossBetween val="midCat"/>
      </c:valAx>
      <c:valAx>
        <c:axId val="1497381199"/>
        <c:scaling>
          <c:orientation val="minMax"/>
          <c:max val="0.18"/>
          <c:min val="0.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0.000000" sourceLinked="1"/>
        <c:majorTickMark val="out"/>
        <c:minorTickMark val="none"/>
        <c:tickLblPos val="nextTo"/>
        <c:crossAx val="1497376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304800</xdr:colOff>
      <xdr:row>19</xdr:row>
      <xdr:rowOff>0</xdr:rowOff>
    </xdr:to>
    <xdr:sp macro="" textlink="">
      <xdr:nvSpPr>
        <xdr:cNvPr id="2" name="uiPanel">
          <a:extLst>
            <a:ext uri="{FF2B5EF4-FFF2-40B4-BE49-F238E27FC236}">
              <a16:creationId xmlns:a16="http://schemas.microsoft.com/office/drawing/2014/main" id="{3761EA61-5CB2-FC23-FAD2-0D92FB213ACB}"/>
            </a:ext>
          </a:extLst>
        </xdr:cNvPr>
        <xdr:cNvSpPr/>
      </xdr:nvSpPr>
      <xdr:spPr>
        <a:xfrm>
          <a:off x="3931920" y="708660"/>
          <a:ext cx="4572000" cy="3048000"/>
        </a:xfrm>
        <a:prstGeom prst="roundRect">
          <a:avLst/>
        </a:prstGeom>
        <a:solidFill>
          <a:srgbClr val="F5F7FC"/>
        </a:solidFill>
        <a:ln w="12700">
          <a:solidFill>
            <a:srgbClr val="C8CEDC"/>
          </a:solidFill>
        </a:ln>
        <a:effectLst>
          <a:outerShdw blurRad="127000" dist="35921" dir="2700002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</xdr:col>
      <xdr:colOff>127000</xdr:colOff>
      <xdr:row>3</xdr:row>
      <xdr:rowOff>127000</xdr:rowOff>
    </xdr:from>
    <xdr:to>
      <xdr:col>11</xdr:col>
      <xdr:colOff>177800</xdr:colOff>
      <xdr:row>5</xdr:row>
      <xdr:rowOff>127000</xdr:rowOff>
    </xdr:to>
    <xdr:sp macro="" textlink="">
      <xdr:nvSpPr>
        <xdr:cNvPr id="3" name="uiPanelHeader">
          <a:extLst>
            <a:ext uri="{FF2B5EF4-FFF2-40B4-BE49-F238E27FC236}">
              <a16:creationId xmlns:a16="http://schemas.microsoft.com/office/drawing/2014/main" id="{8EC5D2E7-C5EC-8EAC-04D6-C63300026E9B}"/>
            </a:ext>
          </a:extLst>
        </xdr:cNvPr>
        <xdr:cNvSpPr/>
      </xdr:nvSpPr>
      <xdr:spPr>
        <a:xfrm>
          <a:off x="4058920" y="835660"/>
          <a:ext cx="4318000" cy="381000"/>
        </a:xfrm>
        <a:prstGeom prst="roundRect">
          <a:avLst/>
        </a:prstGeom>
        <a:solidFill>
          <a:srgbClr val="20386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rgbClr val="FFFFFF"/>
              </a:solidFill>
              <a:latin typeface="Calibri" panose="020F0502020204030204" pitchFamily="34" charset="0"/>
            </a:rPr>
            <a:t>CONTROL PANEL</a:t>
          </a:r>
        </a:p>
      </xdr:txBody>
    </xdr:sp>
    <xdr:clientData/>
  </xdr:twoCellAnchor>
  <xdr:twoCellAnchor>
    <xdr:from>
      <xdr:col>4</xdr:col>
      <xdr:colOff>228600</xdr:colOff>
      <xdr:row>6</xdr:row>
      <xdr:rowOff>127000</xdr:rowOff>
    </xdr:from>
    <xdr:to>
      <xdr:col>11</xdr:col>
      <xdr:colOff>50800</xdr:colOff>
      <xdr:row>8</xdr:row>
      <xdr:rowOff>152400</xdr:rowOff>
    </xdr:to>
    <xdr:sp macro="UI_Run_All" textlink="">
      <xdr:nvSpPr>
        <xdr:cNvPr id="4" name="btnRunAll">
          <a:extLst>
            <a:ext uri="{FF2B5EF4-FFF2-40B4-BE49-F238E27FC236}">
              <a16:creationId xmlns:a16="http://schemas.microsoft.com/office/drawing/2014/main" id="{B7DE550F-1A2D-1912-D3EB-AD4730BFDD32}"/>
            </a:ext>
          </a:extLst>
        </xdr:cNvPr>
        <xdr:cNvSpPr/>
      </xdr:nvSpPr>
      <xdr:spPr>
        <a:xfrm>
          <a:off x="4160520" y="1407160"/>
          <a:ext cx="4089400" cy="4064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(All)</a:t>
          </a:r>
        </a:p>
      </xdr:txBody>
    </xdr:sp>
    <xdr:clientData/>
  </xdr:twoCellAnchor>
  <xdr:twoCellAnchor>
    <xdr:from>
      <xdr:col>4</xdr:col>
      <xdr:colOff>228600</xdr:colOff>
      <xdr:row>9</xdr:row>
      <xdr:rowOff>114300</xdr:rowOff>
    </xdr:from>
    <xdr:to>
      <xdr:col>7</xdr:col>
      <xdr:colOff>368300</xdr:colOff>
      <xdr:row>11</xdr:row>
      <xdr:rowOff>139700</xdr:rowOff>
    </xdr:to>
    <xdr:sp macro="UI_Run_GreeksOnly" textlink="">
      <xdr:nvSpPr>
        <xdr:cNvPr id="5" name="btnGreeks">
          <a:extLst>
            <a:ext uri="{FF2B5EF4-FFF2-40B4-BE49-F238E27FC236}">
              <a16:creationId xmlns:a16="http://schemas.microsoft.com/office/drawing/2014/main" id="{D248B862-F33C-F008-26C2-1289AD155C57}"/>
            </a:ext>
          </a:extLst>
        </xdr:cNvPr>
        <xdr:cNvSpPr/>
      </xdr:nvSpPr>
      <xdr:spPr>
        <a:xfrm>
          <a:off x="41605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Price &amp; Greeks</a:t>
          </a:r>
        </a:p>
      </xdr:txBody>
    </xdr:sp>
    <xdr:clientData/>
  </xdr:twoCellAnchor>
  <xdr:twoCellAnchor>
    <xdr:from>
      <xdr:col>7</xdr:col>
      <xdr:colOff>520700</xdr:colOff>
      <xdr:row>9</xdr:row>
      <xdr:rowOff>114300</xdr:rowOff>
    </xdr:from>
    <xdr:to>
      <xdr:col>11</xdr:col>
      <xdr:colOff>50800</xdr:colOff>
      <xdr:row>11</xdr:row>
      <xdr:rowOff>139700</xdr:rowOff>
    </xdr:to>
    <xdr:sp macro="UI_Run_CurvesOnly" textlink="">
      <xdr:nvSpPr>
        <xdr:cNvPr id="6" name="btnCurves">
          <a:extLst>
            <a:ext uri="{FF2B5EF4-FFF2-40B4-BE49-F238E27FC236}">
              <a16:creationId xmlns:a16="http://schemas.microsoft.com/office/drawing/2014/main" id="{8926A81D-21D2-863F-28A0-EFE6524EF1ED}"/>
            </a:ext>
          </a:extLst>
        </xdr:cNvPr>
        <xdr:cNvSpPr/>
      </xdr:nvSpPr>
      <xdr:spPr>
        <a:xfrm>
          <a:off x="62814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Curves &amp; Charts</a:t>
          </a:r>
        </a:p>
      </xdr:txBody>
    </xdr:sp>
    <xdr:clientData/>
  </xdr:twoCellAnchor>
  <xdr:twoCellAnchor>
    <xdr:from>
      <xdr:col>4</xdr:col>
      <xdr:colOff>228600</xdr:colOff>
      <xdr:row>12</xdr:row>
      <xdr:rowOff>101600</xdr:rowOff>
    </xdr:from>
    <xdr:to>
      <xdr:col>7</xdr:col>
      <xdr:colOff>368300</xdr:colOff>
      <xdr:row>14</xdr:row>
      <xdr:rowOff>127000</xdr:rowOff>
    </xdr:to>
    <xdr:sp macro="UI_Reset" textlink="">
      <xdr:nvSpPr>
        <xdr:cNvPr id="7" name="btnReset">
          <a:extLst>
            <a:ext uri="{FF2B5EF4-FFF2-40B4-BE49-F238E27FC236}">
              <a16:creationId xmlns:a16="http://schemas.microsoft.com/office/drawing/2014/main" id="{C67161A5-ACB6-21A4-6644-CBAEE951E1CA}"/>
            </a:ext>
          </a:extLst>
        </xdr:cNvPr>
        <xdr:cNvSpPr/>
      </xdr:nvSpPr>
      <xdr:spPr>
        <a:xfrm>
          <a:off x="4160520" y="2524760"/>
          <a:ext cx="1968500" cy="406400"/>
        </a:xfrm>
        <a:prstGeom prst="roundRect">
          <a:avLst/>
        </a:prstGeom>
        <a:solidFill>
          <a:srgbClr val="78909C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7</xdr:col>
      <xdr:colOff>520700</xdr:colOff>
      <xdr:row>12</xdr:row>
      <xdr:rowOff>101600</xdr:rowOff>
    </xdr:from>
    <xdr:to>
      <xdr:col>11</xdr:col>
      <xdr:colOff>50800</xdr:colOff>
      <xdr:row>14</xdr:row>
      <xdr:rowOff>127000</xdr:rowOff>
    </xdr:to>
    <xdr:sp macro="UI_OpenOutput" textlink="">
      <xdr:nvSpPr>
        <xdr:cNvPr id="8" name="btnOpenOutput">
          <a:extLst>
            <a:ext uri="{FF2B5EF4-FFF2-40B4-BE49-F238E27FC236}">
              <a16:creationId xmlns:a16="http://schemas.microsoft.com/office/drawing/2014/main" id="{BDBCB666-074C-5428-9CE7-92E05D8988DE}"/>
            </a:ext>
          </a:extLst>
        </xdr:cNvPr>
        <xdr:cNvSpPr/>
      </xdr:nvSpPr>
      <xdr:spPr>
        <a:xfrm>
          <a:off x="6281420" y="25247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Output</a:t>
          </a:r>
        </a:p>
      </xdr:txBody>
    </xdr:sp>
    <xdr:clientData/>
  </xdr:twoCellAnchor>
  <xdr:twoCellAnchor>
    <xdr:from>
      <xdr:col>4</xdr:col>
      <xdr:colOff>228600</xdr:colOff>
      <xdr:row>15</xdr:row>
      <xdr:rowOff>88900</xdr:rowOff>
    </xdr:from>
    <xdr:to>
      <xdr:col>7</xdr:col>
      <xdr:colOff>368300</xdr:colOff>
      <xdr:row>17</xdr:row>
      <xdr:rowOff>114300</xdr:rowOff>
    </xdr:to>
    <xdr:sp macro="UI_OpenCurves" textlink="">
      <xdr:nvSpPr>
        <xdr:cNvPr id="9" name="btnOpenCurves">
          <a:extLst>
            <a:ext uri="{FF2B5EF4-FFF2-40B4-BE49-F238E27FC236}">
              <a16:creationId xmlns:a16="http://schemas.microsoft.com/office/drawing/2014/main" id="{48F38E76-54E5-91C6-BD27-D2C164B9C7DE}"/>
            </a:ext>
          </a:extLst>
        </xdr:cNvPr>
        <xdr:cNvSpPr/>
      </xdr:nvSpPr>
      <xdr:spPr>
        <a:xfrm>
          <a:off x="4160520" y="30835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Curves</a:t>
          </a:r>
        </a:p>
      </xdr:txBody>
    </xdr:sp>
    <xdr:clientData/>
  </xdr:twoCellAnchor>
  <xdr:twoCellAnchor>
    <xdr:from>
      <xdr:col>7</xdr:col>
      <xdr:colOff>520700</xdr:colOff>
      <xdr:row>15</xdr:row>
      <xdr:rowOff>88900</xdr:rowOff>
    </xdr:from>
    <xdr:to>
      <xdr:col>11</xdr:col>
      <xdr:colOff>50800</xdr:colOff>
      <xdr:row>17</xdr:row>
      <xdr:rowOff>114300</xdr:rowOff>
    </xdr:to>
    <xdr:sp macro="UI_UpdateTFromDates" textlink="">
      <xdr:nvSpPr>
        <xdr:cNvPr id="10" name="btnUpdateT">
          <a:extLst>
            <a:ext uri="{FF2B5EF4-FFF2-40B4-BE49-F238E27FC236}">
              <a16:creationId xmlns:a16="http://schemas.microsoft.com/office/drawing/2014/main" id="{6F89CF50-49F6-56AE-D629-ED783372EF03}"/>
            </a:ext>
          </a:extLst>
        </xdr:cNvPr>
        <xdr:cNvSpPr/>
      </xdr:nvSpPr>
      <xdr:spPr>
        <a:xfrm>
          <a:off x="6281420" y="3083560"/>
          <a:ext cx="1968500" cy="406400"/>
        </a:xfrm>
        <a:prstGeom prst="roundRect">
          <a:avLst/>
        </a:prstGeom>
        <a:solidFill>
          <a:srgbClr val="FB8C0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Update T from dates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2" name="chtPrice">
          <a:extLst>
            <a:ext uri="{FF2B5EF4-FFF2-40B4-BE49-F238E27FC236}">
              <a16:creationId xmlns:a16="http://schemas.microsoft.com/office/drawing/2014/main" id="{186D2F9C-0639-BB1C-1993-916D722B7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3" name="chtDelta">
          <a:extLst>
            <a:ext uri="{FF2B5EF4-FFF2-40B4-BE49-F238E27FC236}">
              <a16:creationId xmlns:a16="http://schemas.microsoft.com/office/drawing/2014/main" id="{31579CA6-7313-4DA6-798B-96315A302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1298-F5A8-46D8-8F1B-09127DA3664C}">
  <sheetPr codeName="Foglio2"/>
  <dimension ref="A1:N30"/>
  <sheetViews>
    <sheetView tabSelected="1" zoomScale="74" workbookViewId="0">
      <selection activeCell="E30" sqref="E30"/>
    </sheetView>
  </sheetViews>
  <sheetFormatPr defaultRowHeight="14.4" x14ac:dyDescent="0.3"/>
  <cols>
    <col min="1" max="1" width="22.77734375" style="1" customWidth="1"/>
    <col min="2" max="2" width="16.77734375" style="1" customWidth="1"/>
    <col min="3" max="13" width="8.88671875" style="1"/>
    <col min="14" max="14" width="25.33203125" style="1" customWidth="1"/>
    <col min="15" max="16384" width="8.88671875" style="1"/>
  </cols>
  <sheetData>
    <row r="1" spans="1:14" ht="25.95" customHeight="1" thickBot="1" x14ac:dyDescent="0.35">
      <c r="A1" s="24" t="s">
        <v>16</v>
      </c>
      <c r="B1" s="25"/>
      <c r="C1"/>
    </row>
    <row r="2" spans="1:14" ht="15" thickBot="1" x14ac:dyDescent="0.35">
      <c r="A2" s="4" t="s">
        <v>17</v>
      </c>
      <c r="B2" s="4" t="s">
        <v>18</v>
      </c>
      <c r="C2"/>
    </row>
    <row r="3" spans="1:14" ht="15" thickBot="1" x14ac:dyDescent="0.35">
      <c r="A3" s="26" t="s">
        <v>21</v>
      </c>
      <c r="B3" s="27"/>
      <c r="C3"/>
    </row>
    <row r="4" spans="1:14" ht="15" thickBot="1" x14ac:dyDescent="0.35">
      <c r="A4" s="5" t="s">
        <v>0</v>
      </c>
      <c r="B4" s="6">
        <v>0.05</v>
      </c>
      <c r="C4"/>
    </row>
    <row r="5" spans="1:14" ht="15" thickBot="1" x14ac:dyDescent="0.35">
      <c r="A5" s="5" t="s">
        <v>1</v>
      </c>
      <c r="B5" s="6">
        <v>0.2</v>
      </c>
      <c r="C5"/>
    </row>
    <row r="6" spans="1:14" ht="15" thickBot="1" x14ac:dyDescent="0.35">
      <c r="A6" s="5" t="s">
        <v>2</v>
      </c>
      <c r="B6" s="6">
        <v>1</v>
      </c>
      <c r="C6"/>
    </row>
    <row r="7" spans="1:14" ht="15" thickBot="1" x14ac:dyDescent="0.35">
      <c r="A7" s="7"/>
      <c r="B7" s="8"/>
      <c r="C7"/>
    </row>
    <row r="8" spans="1:14" ht="15" thickBot="1" x14ac:dyDescent="0.35">
      <c r="A8" s="26" t="s">
        <v>22</v>
      </c>
      <c r="B8" s="27"/>
      <c r="C8"/>
    </row>
    <row r="9" spans="1:14" ht="15" thickBot="1" x14ac:dyDescent="0.35">
      <c r="A9" s="5" t="s">
        <v>3</v>
      </c>
      <c r="B9" s="9">
        <v>100000</v>
      </c>
      <c r="C9"/>
    </row>
    <row r="10" spans="1:14" ht="15" thickBot="1" x14ac:dyDescent="0.35">
      <c r="A10" s="5" t="s">
        <v>4</v>
      </c>
      <c r="B10" s="9">
        <v>252</v>
      </c>
      <c r="C10"/>
    </row>
    <row r="11" spans="1:14" ht="15" thickBot="1" x14ac:dyDescent="0.35">
      <c r="A11" s="5" t="s">
        <v>5</v>
      </c>
      <c r="B11" s="9">
        <v>42</v>
      </c>
      <c r="C11"/>
    </row>
    <row r="12" spans="1:14" ht="15" thickBot="1" x14ac:dyDescent="0.35">
      <c r="A12" s="7"/>
      <c r="B12" s="8"/>
      <c r="C12"/>
    </row>
    <row r="13" spans="1:14" ht="15" thickBot="1" x14ac:dyDescent="0.35">
      <c r="A13" s="26" t="s">
        <v>23</v>
      </c>
      <c r="B13" s="27"/>
      <c r="C13"/>
      <c r="N13" s="2" t="s">
        <v>19</v>
      </c>
    </row>
    <row r="14" spans="1:14" ht="15" thickBot="1" x14ac:dyDescent="0.35">
      <c r="A14" s="5" t="s">
        <v>6</v>
      </c>
      <c r="B14" s="6">
        <v>100</v>
      </c>
      <c r="C14"/>
      <c r="D14" s="23"/>
      <c r="E14" s="23"/>
      <c r="F14" s="23"/>
      <c r="N14" s="3" t="s">
        <v>43</v>
      </c>
    </row>
    <row r="15" spans="1:14" ht="15" thickBot="1" x14ac:dyDescent="0.35">
      <c r="A15" s="7"/>
      <c r="B15" s="8"/>
      <c r="C15"/>
    </row>
    <row r="16" spans="1:14" ht="15" thickBot="1" x14ac:dyDescent="0.35">
      <c r="A16" s="26" t="s">
        <v>24</v>
      </c>
      <c r="B16" s="27"/>
      <c r="C16"/>
    </row>
    <row r="17" spans="1:3" ht="15" thickBot="1" x14ac:dyDescent="0.35">
      <c r="A17" s="5" t="s">
        <v>9</v>
      </c>
      <c r="B17" s="6">
        <v>0.01</v>
      </c>
      <c r="C17"/>
    </row>
    <row r="18" spans="1:3" ht="15" thickBot="1" x14ac:dyDescent="0.35">
      <c r="A18" s="5" t="s">
        <v>10</v>
      </c>
      <c r="B18" s="6">
        <v>0.01</v>
      </c>
      <c r="C18"/>
    </row>
    <row r="19" spans="1:3" ht="15" thickBot="1" x14ac:dyDescent="0.35">
      <c r="A19" s="5" t="s">
        <v>11</v>
      </c>
      <c r="B19" s="6">
        <f>1/52</f>
        <v>1.9230769230769232E-2</v>
      </c>
      <c r="C19"/>
    </row>
    <row r="20" spans="1:3" ht="15" thickBot="1" x14ac:dyDescent="0.35">
      <c r="A20" s="5" t="s">
        <v>12</v>
      </c>
      <c r="B20" s="6">
        <v>0.01</v>
      </c>
      <c r="C20"/>
    </row>
    <row r="21" spans="1:3" ht="15" thickBot="1" x14ac:dyDescent="0.35">
      <c r="A21" s="5" t="s">
        <v>13</v>
      </c>
      <c r="B21" s="6">
        <v>0.01</v>
      </c>
      <c r="C21"/>
    </row>
    <row r="22" spans="1:3" ht="15" thickBot="1" x14ac:dyDescent="0.35">
      <c r="A22" s="7"/>
      <c r="B22" s="8"/>
      <c r="C22"/>
    </row>
    <row r="23" spans="1:3" ht="15" thickBot="1" x14ac:dyDescent="0.35">
      <c r="A23" s="26" t="s">
        <v>25</v>
      </c>
      <c r="B23" s="27"/>
      <c r="C23"/>
    </row>
    <row r="24" spans="1:3" ht="15" thickBot="1" x14ac:dyDescent="0.35">
      <c r="A24" s="5" t="s">
        <v>7</v>
      </c>
      <c r="B24" s="6">
        <v>50</v>
      </c>
      <c r="C24"/>
    </row>
    <row r="25" spans="1:3" ht="15" thickBot="1" x14ac:dyDescent="0.35">
      <c r="A25" s="5" t="s">
        <v>8</v>
      </c>
      <c r="B25" s="6">
        <v>150</v>
      </c>
      <c r="C25"/>
    </row>
    <row r="26" spans="1:3" ht="15" thickBot="1" x14ac:dyDescent="0.35">
      <c r="A26" s="10" t="s">
        <v>20</v>
      </c>
      <c r="B26" s="13">
        <v>5</v>
      </c>
    </row>
    <row r="27" spans="1:3" ht="15" thickBot="1" x14ac:dyDescent="0.35">
      <c r="A27" s="11"/>
      <c r="B27" s="12"/>
    </row>
    <row r="28" spans="1:3" ht="15" thickBot="1" x14ac:dyDescent="0.35">
      <c r="A28" s="22" t="s">
        <v>26</v>
      </c>
      <c r="B28" s="22"/>
    </row>
    <row r="29" spans="1:3" ht="15" thickBot="1" x14ac:dyDescent="0.35">
      <c r="A29" s="10" t="s">
        <v>14</v>
      </c>
      <c r="B29" s="14">
        <f ca="1">TODAY()</f>
        <v>46058</v>
      </c>
    </row>
    <row r="30" spans="1:3" ht="15" thickBot="1" x14ac:dyDescent="0.35">
      <c r="A30" s="10" t="s">
        <v>15</v>
      </c>
      <c r="B30" s="14">
        <f ca="1">EDATE(B29,12)</f>
        <v>46423</v>
      </c>
    </row>
  </sheetData>
  <mergeCells count="8">
    <mergeCell ref="A28:B28"/>
    <mergeCell ref="D14:F14"/>
    <mergeCell ref="A1:B1"/>
    <mergeCell ref="A3:B3"/>
    <mergeCell ref="A8:B8"/>
    <mergeCell ref="A13:B13"/>
    <mergeCell ref="A16:B16"/>
    <mergeCell ref="A23:B23"/>
  </mergeCells>
  <dataValidations count="3">
    <dataValidation type="decimal" operator="greaterThan" allowBlank="1" showDropDown="1" showInputMessage="1" showErrorMessage="1" errorTitle="Invalid value" error="Value must be &gt; 0" sqref="B26 B17:B21 B14 B4:B6" xr:uid="{882A710C-C4A2-495C-877C-48242B9A754C}">
      <formula1>0</formula1>
    </dataValidation>
    <dataValidation type="whole" operator="greaterThanOrEqual" allowBlank="1" showDropDown="1" showInputMessage="1" showErrorMessage="1" errorTitle="Invalid value" error="Value must be &gt;= 1" sqref="B9:B10" xr:uid="{0D6A1B6D-0EEC-4281-85F1-C5210D6F0981}">
      <formula1>1</formula1>
    </dataValidation>
    <dataValidation type="whole" operator="greaterThanOrEqual" allowBlank="1" showDropDown="1" showInputMessage="1" showErrorMessage="1" errorTitle="Invalid value" error="Value must be &gt;= 0" sqref="B11" xr:uid="{18E3354A-7080-4C7B-A80C-0D39179C613D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8"/>
  <sheetViews>
    <sheetView workbookViewId="0">
      <selection activeCell="C12" sqref="C12"/>
    </sheetView>
  </sheetViews>
  <sheetFormatPr defaultRowHeight="14.4" x14ac:dyDescent="0.3"/>
  <cols>
    <col min="1" max="1" width="14.77734375" style="1" customWidth="1"/>
    <col min="2" max="3" width="16.77734375" style="1" customWidth="1"/>
    <col min="4" max="16384" width="8.88671875" style="1"/>
  </cols>
  <sheetData>
    <row r="1" spans="1:3" ht="25.95" customHeight="1" x14ac:dyDescent="0.3">
      <c r="A1" s="28" t="s">
        <v>27</v>
      </c>
      <c r="B1" s="29"/>
      <c r="C1" s="29"/>
    </row>
    <row r="2" spans="1:3" x14ac:dyDescent="0.3">
      <c r="A2" s="15" t="s">
        <v>28</v>
      </c>
      <c r="B2" s="15" t="s">
        <v>29</v>
      </c>
      <c r="C2" s="15" t="s">
        <v>30</v>
      </c>
    </row>
    <row r="3" spans="1:3" x14ac:dyDescent="0.3">
      <c r="A3" s="16" t="s">
        <v>31</v>
      </c>
      <c r="B3" s="17">
        <v>17.585114467407127</v>
      </c>
      <c r="C3" s="17">
        <v>14.215306533445693</v>
      </c>
    </row>
    <row r="4" spans="1:3" x14ac:dyDescent="0.3">
      <c r="A4" s="16" t="s">
        <v>32</v>
      </c>
      <c r="B4" s="17">
        <v>0.17585114466811547</v>
      </c>
      <c r="C4" s="17">
        <v>0.14215306533484906</v>
      </c>
    </row>
    <row r="5" spans="1:3" x14ac:dyDescent="0.3">
      <c r="A5" s="16" t="s">
        <v>33</v>
      </c>
      <c r="B5" s="18">
        <v>-3.979039320256561E-9</v>
      </c>
      <c r="C5" s="18">
        <v>5.8619775700208265E-10</v>
      </c>
    </row>
    <row r="6" spans="1:3" x14ac:dyDescent="0.3">
      <c r="A6" s="16" t="s">
        <v>34</v>
      </c>
      <c r="B6" s="17">
        <v>-9.3877869018354687</v>
      </c>
      <c r="C6" s="17">
        <v>-6.3354691641821006</v>
      </c>
    </row>
    <row r="7" spans="1:3" x14ac:dyDescent="0.3">
      <c r="A7" s="16" t="s">
        <v>35</v>
      </c>
      <c r="B7" s="17">
        <v>48.164983860103305</v>
      </c>
      <c r="C7" s="17">
        <v>-48.414390983374211</v>
      </c>
    </row>
    <row r="8" spans="1:3" x14ac:dyDescent="0.3">
      <c r="A8" s="16" t="s">
        <v>36</v>
      </c>
      <c r="B8" s="17">
        <v>69.405991824338642</v>
      </c>
      <c r="C8" s="17">
        <v>87.193290975928136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3"/>
  <sheetViews>
    <sheetView zoomScale="83" workbookViewId="0">
      <selection activeCell="C28" sqref="C28"/>
    </sheetView>
  </sheetViews>
  <sheetFormatPr defaultRowHeight="14.4" x14ac:dyDescent="0.3"/>
  <cols>
    <col min="1" max="1" width="10.77734375" style="1" customWidth="1"/>
    <col min="2" max="5" width="16.77734375" style="1" customWidth="1"/>
    <col min="6" max="16384" width="8.88671875" style="1"/>
  </cols>
  <sheetData>
    <row r="1" spans="1:5" ht="25.95" customHeight="1" x14ac:dyDescent="0.3">
      <c r="A1" s="28" t="s">
        <v>42</v>
      </c>
      <c r="B1" s="29"/>
      <c r="C1" s="29"/>
      <c r="D1" s="29"/>
      <c r="E1" s="29"/>
    </row>
    <row r="2" spans="1:5" x14ac:dyDescent="0.3">
      <c r="A2" s="19" t="s">
        <v>37</v>
      </c>
      <c r="B2" s="19" t="s">
        <v>38</v>
      </c>
      <c r="C2" s="19" t="s">
        <v>39</v>
      </c>
      <c r="D2" s="19" t="s">
        <v>40</v>
      </c>
      <c r="E2" s="19" t="s">
        <v>41</v>
      </c>
    </row>
    <row r="3" spans="1:5" x14ac:dyDescent="0.3">
      <c r="A3" s="20">
        <v>50</v>
      </c>
      <c r="B3" s="21">
        <v>8.7925572337035636</v>
      </c>
      <c r="C3" s="21">
        <v>7.1076532667228465</v>
      </c>
      <c r="D3" s="21">
        <v>0.17585114467255636</v>
      </c>
      <c r="E3" s="21">
        <v>0.14215306533480465</v>
      </c>
    </row>
    <row r="4" spans="1:5" x14ac:dyDescent="0.3">
      <c r="A4" s="20">
        <v>55</v>
      </c>
      <c r="B4" s="21">
        <v>9.6718129570738274</v>
      </c>
      <c r="C4" s="21">
        <v>7.8184185933951786</v>
      </c>
      <c r="D4" s="21">
        <v>0.17585114467122409</v>
      </c>
      <c r="E4" s="21">
        <v>0.14215306533373884</v>
      </c>
    </row>
    <row r="5" spans="1:5" x14ac:dyDescent="0.3">
      <c r="A5" s="20">
        <v>60</v>
      </c>
      <c r="B5" s="21">
        <v>10.551068680444187</v>
      </c>
      <c r="C5" s="21">
        <v>8.5291839200674122</v>
      </c>
      <c r="D5" s="21">
        <v>0.17585114467264518</v>
      </c>
      <c r="E5" s="21">
        <v>0.14215306533351679</v>
      </c>
    </row>
    <row r="6" spans="1:5" x14ac:dyDescent="0.3">
      <c r="A6" s="20">
        <v>65</v>
      </c>
      <c r="B6" s="21">
        <v>11.430324403814531</v>
      </c>
      <c r="C6" s="21">
        <v>9.2399492467396502</v>
      </c>
      <c r="D6" s="21">
        <v>0.1758511446747768</v>
      </c>
      <c r="E6" s="21">
        <v>0.14215306533591487</v>
      </c>
    </row>
    <row r="7" spans="1:5" x14ac:dyDescent="0.3">
      <c r="A7" s="20">
        <v>70</v>
      </c>
      <c r="B7" s="21">
        <v>12.309580127184859</v>
      </c>
      <c r="C7" s="21">
        <v>9.950714573412009</v>
      </c>
      <c r="D7" s="21">
        <v>0.17585114468277041</v>
      </c>
      <c r="E7" s="21">
        <v>0.14215306533733596</v>
      </c>
    </row>
    <row r="8" spans="1:5" x14ac:dyDescent="0.3">
      <c r="A8" s="20">
        <v>75</v>
      </c>
      <c r="B8" s="21">
        <v>13.188835850555215</v>
      </c>
      <c r="C8" s="21">
        <v>10.661479900084311</v>
      </c>
      <c r="D8" s="21">
        <v>0.17585114467735252</v>
      </c>
      <c r="E8" s="21">
        <v>0.14215306532801009</v>
      </c>
    </row>
    <row r="9" spans="1:5" x14ac:dyDescent="0.3">
      <c r="A9" s="20">
        <v>80</v>
      </c>
      <c r="B9" s="21">
        <v>14.068091573925507</v>
      </c>
      <c r="C9" s="21">
        <v>11.372245226756506</v>
      </c>
      <c r="D9" s="21">
        <v>0.17585114467344454</v>
      </c>
      <c r="E9" s="21">
        <v>0.14215306532703309</v>
      </c>
    </row>
    <row r="10" spans="1:5" x14ac:dyDescent="0.3">
      <c r="A10" s="20">
        <v>85</v>
      </c>
      <c r="B10" s="21">
        <v>14.94734729729598</v>
      </c>
      <c r="C10" s="21">
        <v>12.083010553428851</v>
      </c>
      <c r="D10" s="21">
        <v>0.17585114466740492</v>
      </c>
      <c r="E10" s="21">
        <v>0.14215306533875705</v>
      </c>
    </row>
    <row r="11" spans="1:5" x14ac:dyDescent="0.3">
      <c r="A11" s="20">
        <v>90</v>
      </c>
      <c r="B11" s="21">
        <v>15.826603020666401</v>
      </c>
      <c r="C11" s="21">
        <v>12.793775880101162</v>
      </c>
      <c r="D11" s="21">
        <v>0.17585114467557617</v>
      </c>
      <c r="E11" s="21">
        <v>0.14215306533698069</v>
      </c>
    </row>
    <row r="12" spans="1:5" x14ac:dyDescent="0.3">
      <c r="A12" s="20">
        <v>95</v>
      </c>
      <c r="B12" s="21">
        <v>16.705858744036682</v>
      </c>
      <c r="C12" s="21">
        <v>13.504541206773435</v>
      </c>
      <c r="D12" s="21">
        <v>0.17585114467415508</v>
      </c>
      <c r="E12" s="21">
        <v>0.14215306533778005</v>
      </c>
    </row>
    <row r="13" spans="1:5" x14ac:dyDescent="0.3">
      <c r="A13" s="20">
        <v>100</v>
      </c>
      <c r="B13" s="21">
        <v>17.585114467407127</v>
      </c>
      <c r="C13" s="21">
        <v>14.215306533445693</v>
      </c>
      <c r="D13" s="21">
        <v>0.17585114466811547</v>
      </c>
      <c r="E13" s="21">
        <v>0.14215306533484906</v>
      </c>
    </row>
    <row r="14" spans="1:5" x14ac:dyDescent="0.3">
      <c r="A14" s="20">
        <v>105</v>
      </c>
      <c r="B14" s="21">
        <v>18.464370190777224</v>
      </c>
      <c r="C14" s="21">
        <v>14.926071860118007</v>
      </c>
      <c r="D14" s="21">
        <v>0.17585114467841834</v>
      </c>
      <c r="E14" s="21">
        <v>0.14215306534035577</v>
      </c>
    </row>
    <row r="15" spans="1:5" x14ac:dyDescent="0.3">
      <c r="A15" s="20">
        <v>110</v>
      </c>
      <c r="B15" s="21">
        <v>19.343625914147655</v>
      </c>
      <c r="C15" s="21">
        <v>15.636837186790357</v>
      </c>
      <c r="D15" s="21">
        <v>0.17585114467753016</v>
      </c>
      <c r="E15" s="21">
        <v>0.14215306533813532</v>
      </c>
    </row>
    <row r="16" spans="1:5" x14ac:dyDescent="0.3">
      <c r="A16" s="20">
        <v>115</v>
      </c>
      <c r="B16" s="21">
        <v>20.222881637518242</v>
      </c>
      <c r="C16" s="21">
        <v>16.347602513462643</v>
      </c>
      <c r="D16" s="21">
        <v>0.17585114466598384</v>
      </c>
      <c r="E16" s="21">
        <v>0.14215306533262861</v>
      </c>
    </row>
    <row r="17" spans="1:5" x14ac:dyDescent="0.3">
      <c r="A17" s="20">
        <v>120</v>
      </c>
      <c r="B17" s="21">
        <v>21.102137360888374</v>
      </c>
      <c r="C17" s="21">
        <v>17.058367840134824</v>
      </c>
      <c r="D17" s="21">
        <v>0.17585114467202345</v>
      </c>
      <c r="E17" s="21">
        <v>0.14215306534097749</v>
      </c>
    </row>
    <row r="18" spans="1:5" x14ac:dyDescent="0.3">
      <c r="A18" s="20">
        <v>125</v>
      </c>
      <c r="B18" s="21">
        <v>21.981393084258702</v>
      </c>
      <c r="C18" s="21">
        <v>17.769133166807112</v>
      </c>
      <c r="D18" s="21">
        <v>0.17585114468356977</v>
      </c>
      <c r="E18" s="21">
        <v>0.14215306533671423</v>
      </c>
    </row>
    <row r="19" spans="1:5" x14ac:dyDescent="0.3">
      <c r="A19" s="20">
        <v>130</v>
      </c>
      <c r="B19" s="21">
        <v>22.860648807629062</v>
      </c>
      <c r="C19" s="21">
        <v>18.4798984934793</v>
      </c>
      <c r="D19" s="21">
        <v>0.17585114467610907</v>
      </c>
      <c r="E19" s="21">
        <v>0.14215306533778005</v>
      </c>
    </row>
    <row r="20" spans="1:5" x14ac:dyDescent="0.3">
      <c r="A20" s="20">
        <v>135</v>
      </c>
      <c r="B20" s="21">
        <v>23.739904530999553</v>
      </c>
      <c r="C20" s="21">
        <v>19.190663820151808</v>
      </c>
      <c r="D20" s="21">
        <v>0.17585114467895124</v>
      </c>
      <c r="E20" s="21">
        <v>0.14215306532587846</v>
      </c>
    </row>
    <row r="21" spans="1:5" x14ac:dyDescent="0.3">
      <c r="A21" s="20">
        <v>140</v>
      </c>
      <c r="B21" s="21">
        <v>24.619160254369717</v>
      </c>
      <c r="C21" s="21">
        <v>19.901429146824018</v>
      </c>
      <c r="D21" s="21">
        <v>0.17585114466633911</v>
      </c>
      <c r="E21" s="21">
        <v>0.14215306534026695</v>
      </c>
    </row>
    <row r="22" spans="1:5" x14ac:dyDescent="0.3">
      <c r="A22" s="20">
        <v>145</v>
      </c>
      <c r="B22" s="21">
        <v>25.498415977740173</v>
      </c>
      <c r="C22" s="21">
        <v>20.612194473496356</v>
      </c>
      <c r="D22" s="21">
        <v>0.17585114466989182</v>
      </c>
      <c r="E22" s="21">
        <v>0.14215306533618133</v>
      </c>
    </row>
    <row r="23" spans="1:5" x14ac:dyDescent="0.3">
      <c r="A23" s="20">
        <v>150</v>
      </c>
      <c r="B23" s="21">
        <v>26.37767170111043</v>
      </c>
      <c r="C23" s="21">
        <v>21.322959800168622</v>
      </c>
      <c r="D23" s="21">
        <v>0.17585114468019469</v>
      </c>
      <c r="E23" s="21">
        <v>0.14215306532516792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2026-02-05T17:39:30Z</dcterms:modified>
</cp:coreProperties>
</file>