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C:\Users\PC\Desktop\PARIS-SACLAY\Primo Semestre\PROGRAMMATION + PROJECT INFORMATIQUE\Project-informatique\project_excel\"/>
    </mc:Choice>
  </mc:AlternateContent>
  <xr:revisionPtr revIDLastSave="0" documentId="13_ncr:1_{CA46CC28-8F94-4045-A81D-477687A632ED}" xr6:coauthVersionLast="47" xr6:coauthVersionMax="47" xr10:uidLastSave="{00000000-0000-0000-0000-000000000000}"/>
  <bookViews>
    <workbookView xWindow="-108" yWindow="-108" windowWidth="23256" windowHeight="12456" xr2:uid="{B27F4D64-D915-44A7-85B0-C62A1FDA1139}"/>
  </bookViews>
  <sheets>
    <sheet name="Input" sheetId="2" r:id="rId1"/>
    <sheet name="Output" sheetId="1" r:id="rId2"/>
    <sheet name="Curv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2" l="1"/>
  <c r="B19" i="2" s="1"/>
  <c r="B4" i="2" s="1"/>
</calcChain>
</file>

<file path=xl/sharedStrings.xml><?xml version="1.0" encoding="utf-8"?>
<sst xmlns="http://schemas.openxmlformats.org/spreadsheetml/2006/main" count="33" uniqueCount="33">
  <si>
    <t>Greek</t>
  </si>
  <si>
    <t>Call</t>
  </si>
  <si>
    <t>Put</t>
  </si>
  <si>
    <t>Price</t>
  </si>
  <si>
    <t>Delta</t>
  </si>
  <si>
    <t>Gamma</t>
  </si>
  <si>
    <t>Theta</t>
  </si>
  <si>
    <t>Rho</t>
  </si>
  <si>
    <t>Vega</t>
  </si>
  <si>
    <t>Parameters</t>
  </si>
  <si>
    <t>r</t>
  </si>
  <si>
    <t>values</t>
  </si>
  <si>
    <t>sigma</t>
  </si>
  <si>
    <t>T</t>
  </si>
  <si>
    <t>steps</t>
  </si>
  <si>
    <t>paths</t>
  </si>
  <si>
    <t>seed</t>
  </si>
  <si>
    <t>S0</t>
  </si>
  <si>
    <t>Smin</t>
  </si>
  <si>
    <t>Smax</t>
  </si>
  <si>
    <t>ds</t>
  </si>
  <si>
    <t>h_delta</t>
  </si>
  <si>
    <t>h_gamma</t>
  </si>
  <si>
    <t>dt_theta</t>
  </si>
  <si>
    <t>h_rho</t>
  </si>
  <si>
    <t>h_vega</t>
  </si>
  <si>
    <t>S</t>
  </si>
  <si>
    <t>Price_Call</t>
  </si>
  <si>
    <t>Price_Put</t>
  </si>
  <si>
    <t>Delta_Call</t>
  </si>
  <si>
    <t>Delta_Put</t>
  </si>
  <si>
    <t>t0</t>
  </si>
  <si>
    <t>Maturity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</si>
</sst>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2" fontId="0" fillId="0" borderId="0" xfId="0" applyNumberFormat="1"/>
    <xf numFmtId="14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Price P(S, T0) vs S0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</c:v>
          </c:tx>
          <c:marker>
            <c:symbol val="circle"/>
            <c:size val="6"/>
          </c:marker>
          <c:xVal>
            <c:numRef>
              <c:f>Curves!$A$2:$A$22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Curves!$B$2:$B$22</c:f>
              <c:numCache>
                <c:formatCode>General</c:formatCode>
                <c:ptCount val="21"/>
                <c:pt idx="0">
                  <c:v>8.3067569464168383</c:v>
                </c:pt>
                <c:pt idx="1">
                  <c:v>9.1374326410585063</c:v>
                </c:pt>
                <c:pt idx="2">
                  <c:v>9.9681083357001405</c:v>
                </c:pt>
                <c:pt idx="3">
                  <c:v>10.798784030341803</c:v>
                </c:pt>
                <c:pt idx="4">
                  <c:v>11.629459724983505</c:v>
                </c:pt>
                <c:pt idx="5">
                  <c:v>12.46013541962518</c:v>
                </c:pt>
                <c:pt idx="6">
                  <c:v>13.290811114266898</c:v>
                </c:pt>
                <c:pt idx="7">
                  <c:v>14.121486808908417</c:v>
                </c:pt>
                <c:pt idx="8">
                  <c:v>14.952162503550237</c:v>
                </c:pt>
                <c:pt idx="9">
                  <c:v>15.782838198191877</c:v>
                </c:pt>
                <c:pt idx="10">
                  <c:v>16.613513892833677</c:v>
                </c:pt>
                <c:pt idx="11">
                  <c:v>17.444189587475602</c:v>
                </c:pt>
                <c:pt idx="12">
                  <c:v>18.274865282117013</c:v>
                </c:pt>
                <c:pt idx="13">
                  <c:v>19.105540976758729</c:v>
                </c:pt>
                <c:pt idx="14">
                  <c:v>19.936216671400281</c:v>
                </c:pt>
                <c:pt idx="15">
                  <c:v>20.766892366041866</c:v>
                </c:pt>
                <c:pt idx="16">
                  <c:v>21.597568060683606</c:v>
                </c:pt>
                <c:pt idx="17">
                  <c:v>22.428243755325397</c:v>
                </c:pt>
                <c:pt idx="18">
                  <c:v>23.25891944996701</c:v>
                </c:pt>
                <c:pt idx="19">
                  <c:v>24.08959514460846</c:v>
                </c:pt>
                <c:pt idx="20">
                  <c:v>24.92027083925036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00-4EE8-8151-D346DA03582C}"/>
            </c:ext>
          </c:extLst>
        </c:ser>
        <c:ser>
          <c:idx val="1"/>
          <c:order val="1"/>
          <c:tx>
            <c:v>Put</c:v>
          </c:tx>
          <c:marker>
            <c:symbol val="circle"/>
            <c:size val="6"/>
          </c:marker>
          <c:xVal>
            <c:numRef>
              <c:f>Curves!$A$2:$A$22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Curves!$C$2:$C$22</c:f>
              <c:numCache>
                <c:formatCode>General</c:formatCode>
                <c:ptCount val="21"/>
                <c:pt idx="0">
                  <c:v>6.7238147049857373</c:v>
                </c:pt>
                <c:pt idx="1">
                  <c:v>7.3961961754844499</c:v>
                </c:pt>
                <c:pt idx="2">
                  <c:v>8.0685776459833249</c:v>
                </c:pt>
                <c:pt idx="3">
                  <c:v>8.7409591164818412</c:v>
                </c:pt>
                <c:pt idx="4">
                  <c:v>9.4133405869802509</c:v>
                </c:pt>
                <c:pt idx="5">
                  <c:v>10.085722057478929</c:v>
                </c:pt>
                <c:pt idx="6">
                  <c:v>10.758103527977509</c:v>
                </c:pt>
                <c:pt idx="7">
                  <c:v>11.430484998476029</c:v>
                </c:pt>
                <c:pt idx="8">
                  <c:v>12.10286646897451</c:v>
                </c:pt>
                <c:pt idx="9">
                  <c:v>12.775247939473093</c:v>
                </c:pt>
                <c:pt idx="10">
                  <c:v>13.447629409971475</c:v>
                </c:pt>
                <c:pt idx="11">
                  <c:v>14.120010880470328</c:v>
                </c:pt>
                <c:pt idx="12">
                  <c:v>14.7923923509689</c:v>
                </c:pt>
                <c:pt idx="13">
                  <c:v>15.464773821467489</c:v>
                </c:pt>
                <c:pt idx="14">
                  <c:v>16.13715529196665</c:v>
                </c:pt>
                <c:pt idx="15">
                  <c:v>16.809536762464987</c:v>
                </c:pt>
                <c:pt idx="16">
                  <c:v>17.481918232963682</c:v>
                </c:pt>
                <c:pt idx="17">
                  <c:v>18.154299703461703</c:v>
                </c:pt>
                <c:pt idx="18">
                  <c:v>18.826681173960502</c:v>
                </c:pt>
                <c:pt idx="19">
                  <c:v>19.499062644459023</c:v>
                </c:pt>
                <c:pt idx="20">
                  <c:v>20.171444114957858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00-4EE8-8151-D346DA0358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329888"/>
        <c:axId val="1366331808"/>
      </c:scatterChart>
      <c:valAx>
        <c:axId val="1366329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6331808"/>
        <c:crosses val="autoZero"/>
        <c:crossBetween val="midCat"/>
      </c:valAx>
      <c:valAx>
        <c:axId val="1366331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63298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it-IT"/>
              <a:t>Delta(S, T0) vs S0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Call</c:v>
          </c:tx>
          <c:marker>
            <c:symbol val="circle"/>
            <c:size val="6"/>
          </c:marker>
          <c:xVal>
            <c:numRef>
              <c:f>Curves!$A$2:$A$22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Curves!$D$2:$D$22</c:f>
              <c:numCache>
                <c:formatCode>General</c:formatCode>
                <c:ptCount val="21"/>
                <c:pt idx="0">
                  <c:v>0.16613513892831655</c:v>
                </c:pt>
                <c:pt idx="1">
                  <c:v>0.16613513892837251</c:v>
                </c:pt>
                <c:pt idx="2">
                  <c:v>0.16613513892835918</c:v>
                </c:pt>
                <c:pt idx="3">
                  <c:v>0.16613513892840093</c:v>
                </c:pt>
                <c:pt idx="4">
                  <c:v>0.16613513892831655</c:v>
                </c:pt>
                <c:pt idx="5">
                  <c:v>0.16613513892831389</c:v>
                </c:pt>
                <c:pt idx="6">
                  <c:v>0.16613513892837162</c:v>
                </c:pt>
                <c:pt idx="7">
                  <c:v>0.16613513892841336</c:v>
                </c:pt>
                <c:pt idx="8">
                  <c:v>0.16613513892837783</c:v>
                </c:pt>
                <c:pt idx="9">
                  <c:v>0.16613513892816201</c:v>
                </c:pt>
                <c:pt idx="10">
                  <c:v>0.16613513892827392</c:v>
                </c:pt>
                <c:pt idx="11">
                  <c:v>0.16613513892816201</c:v>
                </c:pt>
                <c:pt idx="12">
                  <c:v>0.16613513892821707</c:v>
                </c:pt>
                <c:pt idx="13">
                  <c:v>0.16613513892834675</c:v>
                </c:pt>
                <c:pt idx="14">
                  <c:v>0.16613513892837517</c:v>
                </c:pt>
                <c:pt idx="15">
                  <c:v>0.16613513892835741</c:v>
                </c:pt>
                <c:pt idx="16">
                  <c:v>0.16613513892825083</c:v>
                </c:pt>
                <c:pt idx="17">
                  <c:v>0.16613513892840537</c:v>
                </c:pt>
                <c:pt idx="18">
                  <c:v>0.16613513892807141</c:v>
                </c:pt>
                <c:pt idx="19">
                  <c:v>0.16613513892865939</c:v>
                </c:pt>
                <c:pt idx="20">
                  <c:v>0.16613513892837517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B1-499B-BF3E-A6E5D40CD1AB}"/>
            </c:ext>
          </c:extLst>
        </c:ser>
        <c:ser>
          <c:idx val="1"/>
          <c:order val="1"/>
          <c:tx>
            <c:v>Put</c:v>
          </c:tx>
          <c:marker>
            <c:symbol val="circle"/>
            <c:size val="6"/>
          </c:marker>
          <c:xVal>
            <c:numRef>
              <c:f>Curves!$A$2:$A$22</c:f>
              <c:numCache>
                <c:formatCode>General</c:formatCode>
                <c:ptCount val="21"/>
                <c:pt idx="0">
                  <c:v>50</c:v>
                </c:pt>
                <c:pt idx="1">
                  <c:v>55</c:v>
                </c:pt>
                <c:pt idx="2">
                  <c:v>60</c:v>
                </c:pt>
                <c:pt idx="3">
                  <c:v>65</c:v>
                </c:pt>
                <c:pt idx="4">
                  <c:v>70</c:v>
                </c:pt>
                <c:pt idx="5">
                  <c:v>75</c:v>
                </c:pt>
                <c:pt idx="6">
                  <c:v>80</c:v>
                </c:pt>
                <c:pt idx="7">
                  <c:v>85</c:v>
                </c:pt>
                <c:pt idx="8">
                  <c:v>90</c:v>
                </c:pt>
                <c:pt idx="9">
                  <c:v>95</c:v>
                </c:pt>
                <c:pt idx="10">
                  <c:v>100</c:v>
                </c:pt>
                <c:pt idx="11">
                  <c:v>105</c:v>
                </c:pt>
                <c:pt idx="12">
                  <c:v>110</c:v>
                </c:pt>
                <c:pt idx="13">
                  <c:v>115</c:v>
                </c:pt>
                <c:pt idx="14">
                  <c:v>120</c:v>
                </c:pt>
                <c:pt idx="15">
                  <c:v>125</c:v>
                </c:pt>
                <c:pt idx="16">
                  <c:v>130</c:v>
                </c:pt>
                <c:pt idx="17">
                  <c:v>135</c:v>
                </c:pt>
                <c:pt idx="18">
                  <c:v>140</c:v>
                </c:pt>
                <c:pt idx="19">
                  <c:v>145</c:v>
                </c:pt>
                <c:pt idx="20">
                  <c:v>150</c:v>
                </c:pt>
              </c:numCache>
            </c:numRef>
          </c:xVal>
          <c:yVal>
            <c:numRef>
              <c:f>Curves!$E$2:$E$22</c:f>
              <c:numCache>
                <c:formatCode>General</c:formatCode>
                <c:ptCount val="21"/>
                <c:pt idx="0">
                  <c:v>0.13447629409977013</c:v>
                </c:pt>
                <c:pt idx="1">
                  <c:v>0.13447629409975859</c:v>
                </c:pt>
                <c:pt idx="2">
                  <c:v>0.1344762940997728</c:v>
                </c:pt>
                <c:pt idx="3">
                  <c:v>0.13447629409971995</c:v>
                </c:pt>
                <c:pt idx="4">
                  <c:v>0.13447629409969331</c:v>
                </c:pt>
                <c:pt idx="5">
                  <c:v>0.13447629409975992</c:v>
                </c:pt>
                <c:pt idx="6">
                  <c:v>0.13447629409978212</c:v>
                </c:pt>
                <c:pt idx="7">
                  <c:v>0.13447629409967465</c:v>
                </c:pt>
                <c:pt idx="8">
                  <c:v>0.13447629409972439</c:v>
                </c:pt>
                <c:pt idx="9">
                  <c:v>0.13447629409973505</c:v>
                </c:pt>
                <c:pt idx="10">
                  <c:v>0.13447629409977502</c:v>
                </c:pt>
                <c:pt idx="11">
                  <c:v>0.13447629409954587</c:v>
                </c:pt>
                <c:pt idx="12">
                  <c:v>0.13447629409977768</c:v>
                </c:pt>
                <c:pt idx="13">
                  <c:v>0.13447629409983719</c:v>
                </c:pt>
                <c:pt idx="14">
                  <c:v>0.1344762940997537</c:v>
                </c:pt>
                <c:pt idx="15">
                  <c:v>0.134476294099521</c:v>
                </c:pt>
                <c:pt idx="16">
                  <c:v>0.13447629409975548</c:v>
                </c:pt>
                <c:pt idx="17">
                  <c:v>0.13447629409980166</c:v>
                </c:pt>
                <c:pt idx="18">
                  <c:v>0.13447629409969331</c:v>
                </c:pt>
                <c:pt idx="19">
                  <c:v>0.13447629409983008</c:v>
                </c:pt>
                <c:pt idx="20">
                  <c:v>0.13447629409990469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B1-499B-BF3E-A6E5D40CD1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329888"/>
        <c:axId val="1366332768"/>
      </c:scatterChart>
      <c:valAx>
        <c:axId val="1366329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S0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6332768"/>
        <c:crosses val="autoZero"/>
        <c:crossBetween val="midCat"/>
      </c:valAx>
      <c:valAx>
        <c:axId val="1366332768"/>
        <c:scaling>
          <c:orientation val="minMax"/>
          <c:max val="0.18"/>
          <c:min val="0.1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it-IT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36632988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16</xdr:col>
      <xdr:colOff>508000</xdr:colOff>
      <xdr:row>21</xdr:row>
      <xdr:rowOff>152400</xdr:rowOff>
    </xdr:to>
    <xdr:graphicFrame macro="">
      <xdr:nvGraphicFramePr>
        <xdr:cNvPr id="8" name="chtPrice">
          <a:extLst>
            <a:ext uri="{FF2B5EF4-FFF2-40B4-BE49-F238E27FC236}">
              <a16:creationId xmlns:a16="http://schemas.microsoft.com/office/drawing/2014/main" id="{1ED81F48-1E87-DC5E-99BD-B7B0ACEE99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19</xdr:row>
      <xdr:rowOff>0</xdr:rowOff>
    </xdr:from>
    <xdr:to>
      <xdr:col>16</xdr:col>
      <xdr:colOff>508000</xdr:colOff>
      <xdr:row>39</xdr:row>
      <xdr:rowOff>152400</xdr:rowOff>
    </xdr:to>
    <xdr:graphicFrame macro="">
      <xdr:nvGraphicFramePr>
        <xdr:cNvPr id="9" name="chtDelta">
          <a:extLst>
            <a:ext uri="{FF2B5EF4-FFF2-40B4-BE49-F238E27FC236}">
              <a16:creationId xmlns:a16="http://schemas.microsoft.com/office/drawing/2014/main" id="{D806C6EB-50C2-D04E-2F8A-5B0213863D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B9491-4BC4-4824-8317-0F9EC883B398}">
  <sheetPr codeName="Foglio2"/>
  <dimension ref="A1:B19"/>
  <sheetViews>
    <sheetView tabSelected="1" workbookViewId="0">
      <selection activeCell="E22" sqref="E22"/>
    </sheetView>
  </sheetViews>
  <sheetFormatPr defaultRowHeight="14.4" x14ac:dyDescent="0.3"/>
  <cols>
    <col min="1" max="1" width="12.21875" bestFit="1" customWidth="1"/>
    <col min="2" max="2" width="10.33203125" bestFit="1" customWidth="1"/>
  </cols>
  <sheetData>
    <row r="1" spans="1:2" x14ac:dyDescent="0.3">
      <c r="A1" s="1" t="s">
        <v>9</v>
      </c>
      <c r="B1" s="1" t="s">
        <v>11</v>
      </c>
    </row>
    <row r="2" spans="1:2" x14ac:dyDescent="0.3">
      <c r="A2" t="s">
        <v>10</v>
      </c>
      <c r="B2">
        <v>0.05</v>
      </c>
    </row>
    <row r="3" spans="1:2" x14ac:dyDescent="0.3">
      <c r="A3" t="s">
        <v>12</v>
      </c>
      <c r="B3">
        <v>0.2</v>
      </c>
    </row>
    <row r="4" spans="1:2" x14ac:dyDescent="0.3">
      <c r="A4" t="s">
        <v>13</v>
      </c>
      <c r="B4">
        <f ca="1">(B19-B18)/365</f>
        <v>1</v>
      </c>
    </row>
    <row r="5" spans="1:2" x14ac:dyDescent="0.3">
      <c r="A5" t="s">
        <v>14</v>
      </c>
      <c r="B5">
        <v>252</v>
      </c>
    </row>
    <row r="6" spans="1:2" x14ac:dyDescent="0.3">
      <c r="A6" t="s">
        <v>15</v>
      </c>
      <c r="B6">
        <v>100000</v>
      </c>
    </row>
    <row r="7" spans="1:2" x14ac:dyDescent="0.3">
      <c r="A7" t="s">
        <v>16</v>
      </c>
      <c r="B7">
        <v>42</v>
      </c>
    </row>
    <row r="8" spans="1:2" x14ac:dyDescent="0.3">
      <c r="A8" t="s">
        <v>17</v>
      </c>
      <c r="B8">
        <v>100</v>
      </c>
    </row>
    <row r="9" spans="1:2" x14ac:dyDescent="0.3">
      <c r="A9" t="s">
        <v>21</v>
      </c>
      <c r="B9">
        <v>1</v>
      </c>
    </row>
    <row r="10" spans="1:2" x14ac:dyDescent="0.3">
      <c r="A10" t="s">
        <v>22</v>
      </c>
      <c r="B10">
        <v>2</v>
      </c>
    </row>
    <row r="11" spans="1:2" x14ac:dyDescent="0.3">
      <c r="A11" t="s">
        <v>23</v>
      </c>
      <c r="B11" s="2">
        <v>1.9230769230769232E-2</v>
      </c>
    </row>
    <row r="12" spans="1:2" x14ac:dyDescent="0.3">
      <c r="A12" t="s">
        <v>24</v>
      </c>
      <c r="B12">
        <v>5.0000000000000001E-3</v>
      </c>
    </row>
    <row r="13" spans="1:2" x14ac:dyDescent="0.3">
      <c r="A13" t="s">
        <v>25</v>
      </c>
      <c r="B13">
        <v>0.02</v>
      </c>
    </row>
    <row r="14" spans="1:2" x14ac:dyDescent="0.3">
      <c r="A14" t="s">
        <v>18</v>
      </c>
      <c r="B14">
        <v>50</v>
      </c>
    </row>
    <row r="15" spans="1:2" x14ac:dyDescent="0.3">
      <c r="A15" t="s">
        <v>19</v>
      </c>
      <c r="B15">
        <v>150</v>
      </c>
    </row>
    <row r="16" spans="1:2" x14ac:dyDescent="0.3">
      <c r="A16" t="s">
        <v>20</v>
      </c>
      <c r="B16">
        <v>5</v>
      </c>
    </row>
    <row r="18" spans="1:2" x14ac:dyDescent="0.3">
      <c r="A18" t="s">
        <v>31</v>
      </c>
      <c r="B18" s="3">
        <f ca="1">TODAY()</f>
        <v>46053</v>
      </c>
    </row>
    <row r="19" spans="1:2" x14ac:dyDescent="0.3">
      <c r="A19" t="s">
        <v>32</v>
      </c>
      <c r="B19" s="3">
        <f ca="1">EDATE(B18,12)</f>
        <v>46418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9349D-FEBE-418C-8308-C827B156C337}">
  <sheetPr codeName="Foglio1"/>
  <dimension ref="A1:C7"/>
  <sheetViews>
    <sheetView workbookViewId="0">
      <selection activeCell="H12" sqref="H12"/>
    </sheetView>
  </sheetViews>
  <sheetFormatPr defaultRowHeight="14.4" x14ac:dyDescent="0.3"/>
  <cols>
    <col min="1" max="1" width="7.44140625" bestFit="1" customWidth="1"/>
    <col min="2" max="3" width="12.6640625" bestFit="1" customWidth="1"/>
  </cols>
  <sheetData>
    <row r="1" spans="1:3" x14ac:dyDescent="0.3">
      <c r="A1" s="1" t="s">
        <v>0</v>
      </c>
      <c r="B1" s="1" t="s">
        <v>1</v>
      </c>
      <c r="C1" s="1" t="s">
        <v>2</v>
      </c>
    </row>
    <row r="2" spans="1:3" x14ac:dyDescent="0.3">
      <c r="A2" t="s">
        <v>3</v>
      </c>
      <c r="B2">
        <v>16.613513892833677</v>
      </c>
      <c r="C2">
        <v>13.447629409971475</v>
      </c>
    </row>
    <row r="3" spans="1:3" x14ac:dyDescent="0.3">
      <c r="A3" t="s">
        <v>4</v>
      </c>
      <c r="B3">
        <v>0.16613513892827392</v>
      </c>
      <c r="C3">
        <v>0.13447629409977502</v>
      </c>
    </row>
    <row r="4" spans="1:3" x14ac:dyDescent="0.3">
      <c r="A4" t="s">
        <v>5</v>
      </c>
      <c r="B4">
        <v>-8.8817841970012523E-14</v>
      </c>
      <c r="C4">
        <v>1.5232259897857148E-13</v>
      </c>
    </row>
    <row r="5" spans="1:3" x14ac:dyDescent="0.3">
      <c r="A5" t="s">
        <v>6</v>
      </c>
      <c r="B5">
        <v>-8.9042086112465739</v>
      </c>
      <c r="C5">
        <v>-5.8231302982277811</v>
      </c>
    </row>
    <row r="6" spans="1:3" x14ac:dyDescent="0.3">
      <c r="A6" t="s">
        <v>7</v>
      </c>
      <c r="B6">
        <v>47.183243191913249</v>
      </c>
      <c r="C6">
        <v>-49.106513490221637</v>
      </c>
    </row>
    <row r="7" spans="1:3" x14ac:dyDescent="0.3">
      <c r="A7" t="s">
        <v>8</v>
      </c>
      <c r="B7">
        <v>65.051471387409833</v>
      </c>
      <c r="C7">
        <v>82.40210991628372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7F79C-EDA6-430B-8693-2A27FBFD5338}">
  <sheetPr codeName="Foglio3"/>
  <dimension ref="A1:E22"/>
  <sheetViews>
    <sheetView zoomScale="83" workbookViewId="0">
      <selection activeCell="S14" sqref="S14"/>
    </sheetView>
  </sheetViews>
  <sheetFormatPr defaultRowHeight="14.4" x14ac:dyDescent="0.3"/>
  <cols>
    <col min="1" max="1" width="4" bestFit="1" customWidth="1"/>
    <col min="2" max="5" width="12" bestFit="1" customWidth="1"/>
  </cols>
  <sheetData>
    <row r="1" spans="1: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</row>
    <row r="2" spans="1:5" x14ac:dyDescent="0.3">
      <c r="A2">
        <v>50</v>
      </c>
      <c r="B2">
        <v>8.3067569464168383</v>
      </c>
      <c r="C2">
        <v>6.7238147049857373</v>
      </c>
      <c r="D2">
        <v>0.16613513892831655</v>
      </c>
      <c r="E2">
        <v>0.13447629409977013</v>
      </c>
    </row>
    <row r="3" spans="1:5" x14ac:dyDescent="0.3">
      <c r="A3">
        <v>55</v>
      </c>
      <c r="B3">
        <v>9.1374326410585063</v>
      </c>
      <c r="C3">
        <v>7.3961961754844499</v>
      </c>
      <c r="D3">
        <v>0.16613513892837251</v>
      </c>
      <c r="E3">
        <v>0.13447629409975859</v>
      </c>
    </row>
    <row r="4" spans="1:5" x14ac:dyDescent="0.3">
      <c r="A4">
        <v>60</v>
      </c>
      <c r="B4">
        <v>9.9681083357001405</v>
      </c>
      <c r="C4">
        <v>8.0685776459833249</v>
      </c>
      <c r="D4">
        <v>0.16613513892835918</v>
      </c>
      <c r="E4">
        <v>0.1344762940997728</v>
      </c>
    </row>
    <row r="5" spans="1:5" x14ac:dyDescent="0.3">
      <c r="A5">
        <v>65</v>
      </c>
      <c r="B5">
        <v>10.798784030341803</v>
      </c>
      <c r="C5">
        <v>8.7409591164818412</v>
      </c>
      <c r="D5">
        <v>0.16613513892840093</v>
      </c>
      <c r="E5">
        <v>0.13447629409971995</v>
      </c>
    </row>
    <row r="6" spans="1:5" x14ac:dyDescent="0.3">
      <c r="A6">
        <v>70</v>
      </c>
      <c r="B6">
        <v>11.629459724983505</v>
      </c>
      <c r="C6">
        <v>9.4133405869802509</v>
      </c>
      <c r="D6">
        <v>0.16613513892831655</v>
      </c>
      <c r="E6">
        <v>0.13447629409969331</v>
      </c>
    </row>
    <row r="7" spans="1:5" x14ac:dyDescent="0.3">
      <c r="A7">
        <v>75</v>
      </c>
      <c r="B7">
        <v>12.46013541962518</v>
      </c>
      <c r="C7">
        <v>10.085722057478929</v>
      </c>
      <c r="D7">
        <v>0.16613513892831389</v>
      </c>
      <c r="E7">
        <v>0.13447629409975992</v>
      </c>
    </row>
    <row r="8" spans="1:5" x14ac:dyDescent="0.3">
      <c r="A8">
        <v>80</v>
      </c>
      <c r="B8">
        <v>13.290811114266898</v>
      </c>
      <c r="C8">
        <v>10.758103527977509</v>
      </c>
      <c r="D8">
        <v>0.16613513892837162</v>
      </c>
      <c r="E8">
        <v>0.13447629409978212</v>
      </c>
    </row>
    <row r="9" spans="1:5" x14ac:dyDescent="0.3">
      <c r="A9">
        <v>85</v>
      </c>
      <c r="B9">
        <v>14.121486808908417</v>
      </c>
      <c r="C9">
        <v>11.430484998476029</v>
      </c>
      <c r="D9">
        <v>0.16613513892841336</v>
      </c>
      <c r="E9">
        <v>0.13447629409967465</v>
      </c>
    </row>
    <row r="10" spans="1:5" x14ac:dyDescent="0.3">
      <c r="A10">
        <v>90</v>
      </c>
      <c r="B10">
        <v>14.952162503550237</v>
      </c>
      <c r="C10">
        <v>12.10286646897451</v>
      </c>
      <c r="D10">
        <v>0.16613513892837783</v>
      </c>
      <c r="E10">
        <v>0.13447629409972439</v>
      </c>
    </row>
    <row r="11" spans="1:5" x14ac:dyDescent="0.3">
      <c r="A11">
        <v>95</v>
      </c>
      <c r="B11">
        <v>15.782838198191877</v>
      </c>
      <c r="C11">
        <v>12.775247939473093</v>
      </c>
      <c r="D11">
        <v>0.16613513892816201</v>
      </c>
      <c r="E11">
        <v>0.13447629409973505</v>
      </c>
    </row>
    <row r="12" spans="1:5" x14ac:dyDescent="0.3">
      <c r="A12">
        <v>100</v>
      </c>
      <c r="B12">
        <v>16.613513892833677</v>
      </c>
      <c r="C12">
        <v>13.447629409971475</v>
      </c>
      <c r="D12">
        <v>0.16613513892827392</v>
      </c>
      <c r="E12">
        <v>0.13447629409977502</v>
      </c>
    </row>
    <row r="13" spans="1:5" x14ac:dyDescent="0.3">
      <c r="A13">
        <v>105</v>
      </c>
      <c r="B13">
        <v>17.444189587475602</v>
      </c>
      <c r="C13">
        <v>14.120010880470328</v>
      </c>
      <c r="D13">
        <v>0.16613513892816201</v>
      </c>
      <c r="E13">
        <v>0.13447629409954587</v>
      </c>
    </row>
    <row r="14" spans="1:5" x14ac:dyDescent="0.3">
      <c r="A14">
        <v>110</v>
      </c>
      <c r="B14">
        <v>18.274865282117013</v>
      </c>
      <c r="C14">
        <v>14.7923923509689</v>
      </c>
      <c r="D14">
        <v>0.16613513892821707</v>
      </c>
      <c r="E14">
        <v>0.13447629409977768</v>
      </c>
    </row>
    <row r="15" spans="1:5" x14ac:dyDescent="0.3">
      <c r="A15">
        <v>115</v>
      </c>
      <c r="B15">
        <v>19.105540976758729</v>
      </c>
      <c r="C15">
        <v>15.464773821467489</v>
      </c>
      <c r="D15">
        <v>0.16613513892834675</v>
      </c>
      <c r="E15">
        <v>0.13447629409983719</v>
      </c>
    </row>
    <row r="16" spans="1:5" x14ac:dyDescent="0.3">
      <c r="A16">
        <v>120</v>
      </c>
      <c r="B16">
        <v>19.936216671400281</v>
      </c>
      <c r="C16">
        <v>16.13715529196665</v>
      </c>
      <c r="D16">
        <v>0.16613513892837517</v>
      </c>
      <c r="E16">
        <v>0.1344762940997537</v>
      </c>
    </row>
    <row r="17" spans="1:5" x14ac:dyDescent="0.3">
      <c r="A17">
        <v>125</v>
      </c>
      <c r="B17">
        <v>20.766892366041866</v>
      </c>
      <c r="C17">
        <v>16.809536762464987</v>
      </c>
      <c r="D17">
        <v>0.16613513892835741</v>
      </c>
      <c r="E17">
        <v>0.134476294099521</v>
      </c>
    </row>
    <row r="18" spans="1:5" x14ac:dyDescent="0.3">
      <c r="A18">
        <v>130</v>
      </c>
      <c r="B18">
        <v>21.597568060683606</v>
      </c>
      <c r="C18">
        <v>17.481918232963682</v>
      </c>
      <c r="D18">
        <v>0.16613513892825083</v>
      </c>
      <c r="E18">
        <v>0.13447629409975548</v>
      </c>
    </row>
    <row r="19" spans="1:5" x14ac:dyDescent="0.3">
      <c r="A19">
        <v>135</v>
      </c>
      <c r="B19">
        <v>22.428243755325397</v>
      </c>
      <c r="C19">
        <v>18.154299703461703</v>
      </c>
      <c r="D19">
        <v>0.16613513892840537</v>
      </c>
      <c r="E19">
        <v>0.13447629409980166</v>
      </c>
    </row>
    <row r="20" spans="1:5" x14ac:dyDescent="0.3">
      <c r="A20">
        <v>140</v>
      </c>
      <c r="B20">
        <v>23.25891944996701</v>
      </c>
      <c r="C20">
        <v>18.826681173960502</v>
      </c>
      <c r="D20">
        <v>0.16613513892807141</v>
      </c>
      <c r="E20">
        <v>0.13447629409969331</v>
      </c>
    </row>
    <row r="21" spans="1:5" x14ac:dyDescent="0.3">
      <c r="A21">
        <v>145</v>
      </c>
      <c r="B21">
        <v>24.08959514460846</v>
      </c>
      <c r="C21">
        <v>19.499062644459023</v>
      </c>
      <c r="D21">
        <v>0.16613513892865939</v>
      </c>
      <c r="E21">
        <v>0.13447629409983008</v>
      </c>
    </row>
    <row r="22" spans="1:5" x14ac:dyDescent="0.3">
      <c r="A22">
        <v>150</v>
      </c>
      <c r="B22">
        <v>24.92027083925036</v>
      </c>
      <c r="C22">
        <v>20.171444114957858</v>
      </c>
      <c r="D22">
        <v>0.16613513892837517</v>
      </c>
      <c r="E22">
        <v>0.13447629409990469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Input</vt:lpstr>
      <vt:lpstr>Output</vt:lpstr>
      <vt:lpstr>Curves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Micol Cavazzoli</dc:creator>
  <cp:lastModifiedBy>Micol Cavazzoli</cp:lastModifiedBy>
  <dcterms:created xsi:type="dcterms:W3CDTF">2026-01-03T15:42:58Z</dcterms:created>
  <dcterms:modified xsi:type="dcterms:W3CDTF">2026-01-31T18:41:40Z</dcterms:modified>
</cp:coreProperties>
</file>